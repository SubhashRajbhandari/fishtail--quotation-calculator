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<sst xmlns="http://schemas.openxmlformats.org/spreadsheetml/2006/main" count="159" uniqueCount="88">
  <si>
    <t>Premier All in INR</t>
  </si>
  <si>
    <t xml:space="preserve">Half Twin </t>
  </si>
  <si>
    <t>Single room</t>
  </si>
  <si>
    <t>Total Half twin</t>
  </si>
  <si>
    <t>Total Single room</t>
  </si>
  <si>
    <t>Wood Apple</t>
  </si>
  <si>
    <t xml:space="preserve">HOTEL KAUSI </t>
  </si>
  <si>
    <t>trekkers inn</t>
  </si>
  <si>
    <t>Total Cost in INR</t>
  </si>
  <si>
    <t>1 car</t>
  </si>
  <si>
    <t xml:space="preserve">Scorpio </t>
  </si>
  <si>
    <t>Hiace</t>
  </si>
  <si>
    <t>Coster</t>
  </si>
  <si>
    <t>Shuttle</t>
  </si>
  <si>
    <t>Transportation Sheet (Based on A/C)</t>
  </si>
  <si>
    <t>2 pax</t>
  </si>
  <si>
    <t>4 pax</t>
  </si>
  <si>
    <t>5-13 pax</t>
  </si>
  <si>
    <t>13-20 pax</t>
  </si>
  <si>
    <t>21 &amp; abv</t>
  </si>
  <si>
    <t xml:space="preserve">Arrival </t>
  </si>
  <si>
    <t>KTM-SS</t>
  </si>
  <si>
    <t>PKR HALF DAY SS</t>
  </si>
  <si>
    <t>Sarangkot+PKR-SS</t>
  </si>
  <si>
    <t>PKR AND KTM AIRORT PICK &amp; DROP</t>
  </si>
  <si>
    <t xml:space="preserve">      C</t>
  </si>
  <si>
    <t>PKR AND JOM AIRORT PICK &amp; DROP</t>
  </si>
  <si>
    <t>Mugling</t>
  </si>
  <si>
    <t>Overnight stay</t>
  </si>
  <si>
    <t>Departure</t>
  </si>
  <si>
    <t>Total Transportation in INR</t>
  </si>
  <si>
    <t xml:space="preserve">A/C supplement </t>
  </si>
  <si>
    <t>Total Pax</t>
  </si>
  <si>
    <t>Total Transportation per paxn INR</t>
  </si>
  <si>
    <t xml:space="preserve">  Additional Cost </t>
  </si>
  <si>
    <t>Mis</t>
  </si>
  <si>
    <t xml:space="preserve">                                                                                                        </t>
  </si>
  <si>
    <t>ACAP</t>
  </si>
  <si>
    <t xml:space="preserve">                                                                                                            </t>
  </si>
  <si>
    <t xml:space="preserve">KTM -PKR-KTM FLIGHT  </t>
  </si>
  <si>
    <t xml:space="preserve">PKR JOM-PKR FLIGHT </t>
  </si>
  <si>
    <t xml:space="preserve">                                                               </t>
  </si>
  <si>
    <t xml:space="preserve">                            </t>
  </si>
  <si>
    <t xml:space="preserve">                                                                   </t>
  </si>
  <si>
    <t xml:space="preserve">                                                    </t>
  </si>
  <si>
    <t>Total Others</t>
  </si>
  <si>
    <t>Guide</t>
  </si>
  <si>
    <t>2-4 pax</t>
  </si>
  <si>
    <t>5-12 pax</t>
  </si>
  <si>
    <t>13-15 pax</t>
  </si>
  <si>
    <t>16-25 pax</t>
  </si>
  <si>
    <t>25 &amp; abv</t>
  </si>
  <si>
    <t>PKO - JOM- POK</t>
  </si>
  <si>
    <t>Fd P'Nath + B'Nath + B'gaon</t>
  </si>
  <si>
    <t>Hd PKR</t>
  </si>
  <si>
    <t xml:space="preserve">Total Guide </t>
  </si>
  <si>
    <t>Guide Cost per pax</t>
  </si>
  <si>
    <t>Total Tpt,others,Boating,Margin</t>
  </si>
  <si>
    <t>Transportation</t>
  </si>
  <si>
    <t>Hotel Costing</t>
  </si>
  <si>
    <t>Others</t>
  </si>
  <si>
    <t xml:space="preserve">Guide for KTM Valley + PKR </t>
  </si>
  <si>
    <t>Margin</t>
  </si>
  <si>
    <t>TOTAL</t>
  </si>
  <si>
    <t>Total Package Cost</t>
  </si>
  <si>
    <t xml:space="preserve">Premier </t>
  </si>
  <si>
    <t>Total Adults</t>
  </si>
  <si>
    <t>Child with bed 75%</t>
  </si>
  <si>
    <t>Child without bed 35%</t>
  </si>
  <si>
    <t xml:space="preserve">HOTEL WOOD APPLE </t>
  </si>
  <si>
    <t>HOTEL KAUSI</t>
  </si>
  <si>
    <t>TREKKERS INN</t>
  </si>
  <si>
    <t>ARRIVAL</t>
  </si>
  <si>
    <t xml:space="preserve">KTM SS- FULL DAY </t>
  </si>
  <si>
    <t xml:space="preserve">PKR HALF DAY </t>
  </si>
  <si>
    <t>PKR - SARANKOT</t>
  </si>
  <si>
    <t xml:space="preserve">DEPATURE </t>
  </si>
  <si>
    <t>PUMDIKOT PKR</t>
  </si>
  <si>
    <t>KTM PKR DOMESTIC DEPATURE</t>
  </si>
  <si>
    <t xml:space="preserve">PKR DOMESTIC DROP </t>
  </si>
  <si>
    <t>PKR- KTM DOMESTIC ARR</t>
  </si>
  <si>
    <t>PKR DOMESTIC DEPATURE</t>
  </si>
  <si>
    <t xml:space="preserve">CHANDRAGIRI </t>
  </si>
  <si>
    <t xml:space="preserve">POKHARA -KATHMANDU FLIGHT </t>
  </si>
  <si>
    <t>PKR-JOM FLIGHT</t>
  </si>
  <si>
    <t>JOM- KUKTINATH</t>
  </si>
  <si>
    <t xml:space="preserve">paragliding </t>
  </si>
  <si>
    <t>Child with no bed 35%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</si>
</sst>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3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3" fontId="4" fillId="0" borderId="1" xfId="0" applyNumberFormat="1" applyFont="1" applyBorder="1"/>
    <xf numFmtId="0" fontId="1" fillId="0" borderId="1" xfId="0" applyFont="1" applyBorder="1"/>
    <xf numFmtId="3" fontId="1" fillId="0" borderId="1" xfId="0" applyNumberFormat="1" applyFont="1" applyBorder="1"/>
    <xf numFmtId="0" fontId="1" fillId="3" borderId="1" xfId="0" applyFont="1" applyFill="1" applyBorder="1"/>
    <xf numFmtId="0" fontId="1" fillId="0" borderId="0" xfId="0" applyFont="1"/>
    <xf numFmtId="0" fontId="4" fillId="0" borderId="0" xfId="0" applyFont="1"/>
    <xf numFmtId="2" fontId="1" fillId="0" borderId="1" xfId="0" applyNumberFormat="1" applyFont="1" applyBorder="1"/>
    <xf numFmtId="2" fontId="1" fillId="3" borderId="1" xfId="0" applyNumberFormat="1" applyFont="1" applyFill="1" applyBorder="1"/>
    <xf numFmtId="0" fontId="4" fillId="0" borderId="2" xfId="0" applyFont="1" applyBorder="1"/>
    <xf numFmtId="2" fontId="4" fillId="4" borderId="1" xfId="0" applyNumberFormat="1" applyFont="1" applyFill="1" applyBorder="1"/>
    <xf numFmtId="2" fontId="4" fillId="0" borderId="1" xfId="0" applyNumberFormat="1" applyFont="1" applyBorder="1"/>
    <xf numFmtId="0" fontId="4" fillId="4" borderId="1" xfId="0" applyFont="1" applyFill="1" applyBorder="1"/>
    <xf numFmtId="9" fontId="4" fillId="0" borderId="1" xfId="0" applyNumberFormat="1" applyFont="1" applyBorder="1"/>
    <xf numFmtId="43" fontId="4" fillId="4" borderId="1" xfId="0" applyNumberFormat="1" applyFont="1" applyFill="1" applyBorder="1"/>
    <xf numFmtId="43" fontId="4" fillId="0" borderId="1" xfId="0" applyNumberFormat="1" applyFont="1" applyBorder="1"/>
    <xf numFmtId="43" fontId="1" fillId="0" borderId="1" xfId="0" applyNumberFormat="1" applyFont="1" applyBorder="1"/>
    <xf numFmtId="43" fontId="1" fillId="4" borderId="1" xfId="0" applyNumberFormat="1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4" borderId="5" xfId="0" applyFont="1" applyFill="1" applyBorder="1"/>
    <xf numFmtId="0" fontId="1" fillId="0" borderId="5" xfId="0" applyFont="1" applyBorder="1"/>
    <xf numFmtId="3" fontId="1" fillId="4" borderId="5" xfId="0" applyNumberFormat="1" applyFont="1" applyFill="1" applyBorder="1"/>
    <xf numFmtId="0" fontId="1" fillId="5" borderId="1" xfId="0" applyFont="1" applyFill="1" applyBorder="1"/>
    <xf numFmtId="43" fontId="1" fillId="3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"/>
  <sheetViews>
    <sheetView topLeftCell="A52" workbookViewId="0">
      <selection activeCell="E69" sqref="E69"/>
    </sheetView>
  </sheetViews>
  <sheetFormatPr defaultColWidth="9" defaultRowHeight="15" outlineLevelCol="6"/>
  <cols>
    <col min="1" max="1" width="37.8571428571429" customWidth="1"/>
    <col min="2" max="2" width="21.7142857142857" customWidth="1"/>
    <col min="3" max="3" width="12.4285714285714" customWidth="1"/>
    <col min="4" max="4" width="14.1428571428571" customWidth="1"/>
    <col min="5" max="5" width="20.2857142857143" customWidth="1"/>
    <col min="6" max="6" width="22" customWidth="1"/>
  </cols>
  <sheetData>
    <row r="1" ht="15.75" spans="1:7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2"/>
    </row>
    <row r="2" ht="17.25" spans="1:7">
      <c r="A2" s="3" t="s">
        <v>5</v>
      </c>
      <c r="B2" s="4">
        <f>1500</f>
        <v>1500</v>
      </c>
      <c r="C2" s="4"/>
      <c r="D2" s="4">
        <v>3</v>
      </c>
      <c r="E2" s="4">
        <v>4500</v>
      </c>
      <c r="F2" s="4">
        <v>0</v>
      </c>
      <c r="G2" s="2"/>
    </row>
    <row r="3" ht="17.25" spans="1:7">
      <c r="A3" s="3" t="s">
        <v>6</v>
      </c>
      <c r="B3" s="4">
        <v>1800</v>
      </c>
      <c r="C3" s="4"/>
      <c r="D3" s="4">
        <v>3</v>
      </c>
      <c r="E3" s="4">
        <v>3600</v>
      </c>
      <c r="F3" s="4">
        <v>0</v>
      </c>
      <c r="G3" s="2"/>
    </row>
    <row r="4" ht="17.25" spans="1:7">
      <c r="A4" s="3" t="s">
        <v>7</v>
      </c>
      <c r="B4" s="5">
        <v>7000</v>
      </c>
      <c r="C4" s="4"/>
      <c r="D4" s="4">
        <v>1</v>
      </c>
      <c r="E4" s="4">
        <v>7000</v>
      </c>
      <c r="F4" s="4">
        <v>0</v>
      </c>
      <c r="G4" s="2"/>
    </row>
    <row r="5" ht="15.75" spans="1:7">
      <c r="A5" s="4"/>
      <c r="B5" s="4"/>
      <c r="C5" s="4"/>
      <c r="D5" s="4"/>
      <c r="E5" s="4">
        <v>0</v>
      </c>
      <c r="F5" s="4">
        <v>0</v>
      </c>
      <c r="G5" s="2"/>
    </row>
    <row r="6" ht="15.75" spans="1:7">
      <c r="A6" s="4"/>
      <c r="B6" s="4"/>
      <c r="C6" s="4"/>
      <c r="D6" s="4"/>
      <c r="E6" s="4">
        <v>0</v>
      </c>
      <c r="F6" s="4">
        <v>0</v>
      </c>
      <c r="G6" s="2"/>
    </row>
    <row r="7" ht="15.75" spans="1:7">
      <c r="A7" s="4"/>
      <c r="B7" s="4">
        <v>0</v>
      </c>
      <c r="C7" s="4"/>
      <c r="D7" s="4"/>
      <c r="E7" s="4">
        <v>0</v>
      </c>
      <c r="F7" s="4">
        <v>0</v>
      </c>
      <c r="G7" s="2"/>
    </row>
    <row r="8" ht="15.75" spans="1:7">
      <c r="A8" s="4"/>
      <c r="B8" s="4">
        <v>0</v>
      </c>
      <c r="C8" s="4"/>
      <c r="D8" s="4"/>
      <c r="E8" s="4">
        <v>0</v>
      </c>
      <c r="F8" s="4">
        <v>0</v>
      </c>
      <c r="G8" s="2"/>
    </row>
    <row r="9" ht="15.75" spans="1:7">
      <c r="A9" s="6" t="s">
        <v>8</v>
      </c>
      <c r="B9" s="7">
        <v>10600</v>
      </c>
      <c r="C9" s="6">
        <v>0</v>
      </c>
      <c r="D9" s="6">
        <v>5</v>
      </c>
      <c r="E9" s="8">
        <v>14200</v>
      </c>
      <c r="F9" s="6">
        <v>0</v>
      </c>
      <c r="G9" s="2"/>
    </row>
    <row r="10" ht="15.75" spans="1:7">
      <c r="A10" s="9"/>
      <c r="B10" s="10" t="s">
        <v>9</v>
      </c>
      <c r="C10" s="10" t="s">
        <v>10</v>
      </c>
      <c r="D10" s="10" t="s">
        <v>11</v>
      </c>
      <c r="E10" s="10" t="s">
        <v>12</v>
      </c>
      <c r="F10" s="10" t="s">
        <v>13</v>
      </c>
      <c r="G10" s="2"/>
    </row>
    <row r="11" ht="15.75" spans="1:7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2"/>
    </row>
    <row r="12" ht="15.75" spans="1:7">
      <c r="A12" s="4" t="s">
        <v>20</v>
      </c>
      <c r="B12" s="4">
        <v>1000</v>
      </c>
      <c r="C12" s="4">
        <v>1500</v>
      </c>
      <c r="D12" s="4">
        <v>1750</v>
      </c>
      <c r="E12" s="4">
        <v>2250</v>
      </c>
      <c r="F12" s="4">
        <v>2750</v>
      </c>
      <c r="G12" s="2"/>
    </row>
    <row r="13" ht="15.75" spans="1:7">
      <c r="A13" s="4" t="s">
        <v>21</v>
      </c>
      <c r="B13" s="5">
        <v>4000</v>
      </c>
      <c r="C13" s="4">
        <v>6000</v>
      </c>
      <c r="D13" s="4">
        <v>7000</v>
      </c>
      <c r="E13" s="4">
        <v>9000</v>
      </c>
      <c r="F13" s="4">
        <v>11000</v>
      </c>
      <c r="G13" s="2"/>
    </row>
    <row r="14" ht="15.75" spans="1:7">
      <c r="A14" s="4"/>
      <c r="B14" s="4"/>
      <c r="C14" s="4">
        <v>18375</v>
      </c>
      <c r="D14" s="4">
        <v>21437.5</v>
      </c>
      <c r="E14" s="4">
        <v>27562.5</v>
      </c>
      <c r="F14" s="4">
        <v>33687.5</v>
      </c>
      <c r="G14" s="2"/>
    </row>
    <row r="15" ht="15.75" spans="1:7">
      <c r="A15" s="4" t="s">
        <v>22</v>
      </c>
      <c r="B15" s="5">
        <v>2000</v>
      </c>
      <c r="C15" s="4">
        <v>6000</v>
      </c>
      <c r="D15" s="4">
        <v>7000</v>
      </c>
      <c r="E15" s="4">
        <v>9000</v>
      </c>
      <c r="F15" s="4">
        <v>11000</v>
      </c>
      <c r="G15" s="2"/>
    </row>
    <row r="16" ht="15.75" spans="1:7">
      <c r="A16" s="4" t="s">
        <v>23</v>
      </c>
      <c r="B16" s="4">
        <v>6500</v>
      </c>
      <c r="C16" s="4">
        <v>9750</v>
      </c>
      <c r="D16" s="4">
        <v>11375</v>
      </c>
      <c r="E16" s="4">
        <v>14625</v>
      </c>
      <c r="F16" s="4">
        <v>17875</v>
      </c>
      <c r="G16" s="2"/>
    </row>
    <row r="17" ht="15.75" spans="1:7">
      <c r="A17" s="4" t="s">
        <v>24</v>
      </c>
      <c r="B17" s="4">
        <v>3000</v>
      </c>
      <c r="C17" s="4">
        <v>9975</v>
      </c>
      <c r="D17" s="4">
        <v>11637.5</v>
      </c>
      <c r="E17" s="4">
        <v>14962.5</v>
      </c>
      <c r="F17" s="4">
        <v>18287.5</v>
      </c>
      <c r="G17" s="2"/>
    </row>
    <row r="18" ht="15.75" spans="1:7">
      <c r="A18" s="4"/>
      <c r="B18" s="4"/>
      <c r="C18" s="4"/>
      <c r="D18" s="4"/>
      <c r="E18" s="4"/>
      <c r="F18" s="4"/>
      <c r="G18" s="2"/>
    </row>
    <row r="19" ht="15.75" spans="1:7">
      <c r="A19" s="4">
        <v>0</v>
      </c>
      <c r="B19" s="4"/>
      <c r="C19" s="4"/>
      <c r="D19" s="4"/>
      <c r="E19" s="4"/>
      <c r="F19" s="4"/>
      <c r="G19" s="2"/>
    </row>
    <row r="20" ht="15.75" spans="1:7">
      <c r="A20" s="4"/>
      <c r="B20" s="4"/>
      <c r="C20" s="4" t="s">
        <v>25</v>
      </c>
      <c r="D20" s="4"/>
      <c r="E20" s="4"/>
      <c r="F20" s="4"/>
      <c r="G20" s="2"/>
    </row>
    <row r="21" ht="15.75" spans="1:7">
      <c r="A21" s="4" t="s">
        <v>26</v>
      </c>
      <c r="B21" s="4">
        <v>3000</v>
      </c>
      <c r="C21" s="4">
        <v>9975</v>
      </c>
      <c r="D21" s="4">
        <v>11637.5</v>
      </c>
      <c r="E21" s="4">
        <v>14962.5</v>
      </c>
      <c r="F21" s="4">
        <v>18287.5</v>
      </c>
      <c r="G21" s="2"/>
    </row>
    <row r="22" ht="15.75" spans="1:7">
      <c r="A22" s="4" t="s">
        <v>27</v>
      </c>
      <c r="B22" s="4">
        <v>6650</v>
      </c>
      <c r="C22" s="4">
        <v>9975</v>
      </c>
      <c r="D22" s="4">
        <v>11637.5</v>
      </c>
      <c r="E22" s="4">
        <v>14962.5</v>
      </c>
      <c r="F22" s="4">
        <v>18287.5</v>
      </c>
      <c r="G22" s="2"/>
    </row>
    <row r="23" ht="15.75" spans="1:7">
      <c r="A23" s="4" t="s">
        <v>28</v>
      </c>
      <c r="B23" s="5">
        <f>2500*4</f>
        <v>10000</v>
      </c>
      <c r="C23" s="4">
        <v>6000</v>
      </c>
      <c r="D23" s="4">
        <v>7000</v>
      </c>
      <c r="E23" s="4">
        <v>9000</v>
      </c>
      <c r="F23" s="4">
        <v>11000</v>
      </c>
      <c r="G23" s="2"/>
    </row>
    <row r="24" ht="15.75" spans="1:7">
      <c r="A24" s="4"/>
      <c r="B24" s="4">
        <f>2500*4</f>
        <v>10000</v>
      </c>
      <c r="C24" s="4">
        <v>15000</v>
      </c>
      <c r="D24" s="4">
        <v>17500</v>
      </c>
      <c r="E24" s="4">
        <v>22500</v>
      </c>
      <c r="F24" s="4">
        <v>27500</v>
      </c>
      <c r="G24" s="2"/>
    </row>
    <row r="25" ht="15.75" spans="1:7">
      <c r="A25" s="4" t="s">
        <v>29</v>
      </c>
      <c r="B25" s="4">
        <v>1000</v>
      </c>
      <c r="C25" s="4">
        <v>1500</v>
      </c>
      <c r="D25" s="4">
        <v>1750</v>
      </c>
      <c r="E25" s="4">
        <v>2250</v>
      </c>
      <c r="F25" s="4">
        <v>2750</v>
      </c>
      <c r="G25" s="2"/>
    </row>
    <row r="26" ht="15.75" spans="1:7">
      <c r="A26" s="4"/>
      <c r="B26" s="4"/>
      <c r="C26" s="4">
        <v>0</v>
      </c>
      <c r="D26" s="4">
        <v>0</v>
      </c>
      <c r="E26" s="4">
        <v>0</v>
      </c>
      <c r="F26" s="4">
        <v>0</v>
      </c>
      <c r="G26" s="2"/>
    </row>
    <row r="27" ht="15.75" spans="1:7">
      <c r="A27" s="6" t="s">
        <v>30</v>
      </c>
      <c r="B27" s="6">
        <v>41400</v>
      </c>
      <c r="C27" s="6">
        <v>62100</v>
      </c>
      <c r="D27" s="6">
        <v>72450</v>
      </c>
      <c r="E27" s="6">
        <v>93150</v>
      </c>
      <c r="F27" s="6">
        <v>113850</v>
      </c>
      <c r="G27" s="2"/>
    </row>
    <row r="28" ht="15.75" spans="1:7">
      <c r="A28" s="6" t="s">
        <v>31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2"/>
    </row>
    <row r="29" ht="15.75" spans="1:7">
      <c r="A29" s="6" t="s">
        <v>32</v>
      </c>
      <c r="B29" s="11">
        <v>2</v>
      </c>
      <c r="C29" s="11">
        <v>4</v>
      </c>
      <c r="D29" s="11">
        <v>11</v>
      </c>
      <c r="E29" s="11">
        <v>12</v>
      </c>
      <c r="F29" s="11">
        <v>29</v>
      </c>
      <c r="G29" s="2"/>
    </row>
    <row r="30" ht="15.75" spans="1:7">
      <c r="A30" s="6" t="s">
        <v>33</v>
      </c>
      <c r="B30" s="12">
        <v>12937.5</v>
      </c>
      <c r="C30" s="11">
        <v>9703.125</v>
      </c>
      <c r="D30" s="11">
        <v>4116.47727272727</v>
      </c>
      <c r="E30" s="11">
        <v>4851.5625</v>
      </c>
      <c r="F30" s="11">
        <v>2453.66379310345</v>
      </c>
      <c r="G30" s="2"/>
    </row>
    <row r="31" ht="15.75" spans="1:7">
      <c r="A31" s="9"/>
      <c r="B31" s="9"/>
      <c r="C31" s="9"/>
      <c r="D31" s="9"/>
      <c r="E31" s="9"/>
      <c r="F31" s="9"/>
      <c r="G31" s="2"/>
    </row>
    <row r="32" ht="15.75" spans="1:7">
      <c r="A32" s="1" t="s">
        <v>34</v>
      </c>
      <c r="B32" s="1"/>
      <c r="C32" s="9"/>
      <c r="D32" s="9"/>
      <c r="E32" s="9"/>
      <c r="F32" s="10"/>
      <c r="G32" s="2"/>
    </row>
    <row r="33" ht="15.75" spans="1:7">
      <c r="A33" s="4" t="s">
        <v>35</v>
      </c>
      <c r="B33" s="13">
        <v>500</v>
      </c>
      <c r="C33" s="9"/>
      <c r="D33" s="9" t="s">
        <v>36</v>
      </c>
      <c r="E33" s="9"/>
      <c r="F33" s="10"/>
      <c r="G33" s="2"/>
    </row>
    <row r="34" ht="15.75" spans="1:7">
      <c r="A34" s="4" t="s">
        <v>37</v>
      </c>
      <c r="B34" s="13">
        <v>670</v>
      </c>
      <c r="C34" s="9"/>
      <c r="D34" s="9"/>
      <c r="E34" s="9" t="s">
        <v>38</v>
      </c>
      <c r="F34" s="9"/>
      <c r="G34" s="2"/>
    </row>
    <row r="35" ht="15.75" spans="1:7">
      <c r="A35" s="4" t="s">
        <v>39</v>
      </c>
      <c r="B35" s="13">
        <v>9000</v>
      </c>
      <c r="C35" s="9"/>
      <c r="D35" s="9"/>
      <c r="E35" s="9"/>
      <c r="F35" s="9"/>
      <c r="G35" s="2"/>
    </row>
    <row r="36" ht="15.75" spans="1:7">
      <c r="A36" s="10" t="s">
        <v>40</v>
      </c>
      <c r="B36" s="13"/>
      <c r="C36" s="9" t="s">
        <v>41</v>
      </c>
      <c r="D36" s="9" t="s">
        <v>42</v>
      </c>
      <c r="E36" s="9"/>
      <c r="F36" s="9"/>
      <c r="G36" s="2"/>
    </row>
    <row r="37" ht="15.75" spans="1:7">
      <c r="A37" s="4"/>
      <c r="B37" s="13"/>
      <c r="C37" s="9"/>
      <c r="D37" s="9"/>
      <c r="E37" s="9" t="s">
        <v>43</v>
      </c>
      <c r="F37" s="9"/>
      <c r="G37" s="2"/>
    </row>
    <row r="38" ht="15.75" spans="1:7">
      <c r="A38" s="10"/>
      <c r="B38" s="13"/>
      <c r="C38" s="9"/>
      <c r="D38" s="9"/>
      <c r="E38" s="9"/>
      <c r="F38" s="9"/>
      <c r="G38" s="2"/>
    </row>
    <row r="39" ht="15.75" spans="1:7">
      <c r="A39" s="4"/>
      <c r="B39" s="13"/>
      <c r="C39" s="9"/>
      <c r="D39" s="9"/>
      <c r="E39" s="9"/>
      <c r="F39" s="9"/>
      <c r="G39" s="2"/>
    </row>
    <row r="40" ht="15.75" spans="1:7">
      <c r="A40" s="4"/>
      <c r="B40" s="13"/>
      <c r="C40" s="9"/>
      <c r="D40" s="9" t="s">
        <v>44</v>
      </c>
      <c r="E40" s="9"/>
      <c r="F40" s="9"/>
      <c r="G40" s="2"/>
    </row>
    <row r="41" ht="15.75" spans="1:7">
      <c r="A41" s="6" t="s">
        <v>45</v>
      </c>
      <c r="B41" s="8">
        <v>500</v>
      </c>
      <c r="C41" s="10"/>
      <c r="D41" s="10"/>
      <c r="E41" s="10"/>
      <c r="F41" s="10"/>
      <c r="G41" s="2"/>
    </row>
    <row r="42" ht="15.75" spans="1:7">
      <c r="A42" s="9"/>
      <c r="B42" s="9"/>
      <c r="C42" s="10"/>
      <c r="D42" s="10"/>
      <c r="E42" s="10"/>
      <c r="F42" s="10"/>
      <c r="G42" s="2"/>
    </row>
    <row r="43" ht="15.75" spans="1:7">
      <c r="A43" s="1" t="s">
        <v>46</v>
      </c>
      <c r="B43" s="1" t="s">
        <v>47</v>
      </c>
      <c r="C43" s="1" t="s">
        <v>48</v>
      </c>
      <c r="D43" s="1" t="s">
        <v>49</v>
      </c>
      <c r="E43" s="1" t="s">
        <v>50</v>
      </c>
      <c r="F43" s="1" t="s">
        <v>51</v>
      </c>
      <c r="G43" s="2"/>
    </row>
    <row r="44" ht="15.75" spans="1:7">
      <c r="A44" s="4" t="s">
        <v>52</v>
      </c>
      <c r="B44" s="4"/>
      <c r="C44" s="4">
        <v>0</v>
      </c>
      <c r="D44" s="4">
        <v>0</v>
      </c>
      <c r="E44" s="4">
        <v>0</v>
      </c>
      <c r="F44" s="4">
        <v>0</v>
      </c>
      <c r="G44" s="2"/>
    </row>
    <row r="45" ht="15.75" spans="1:7">
      <c r="A45" s="4" t="s">
        <v>53</v>
      </c>
      <c r="B45" s="4"/>
      <c r="C45" s="4"/>
      <c r="D45" s="4"/>
      <c r="E45" s="4"/>
      <c r="F45" s="4"/>
      <c r="G45" s="2"/>
    </row>
    <row r="46" ht="15.75" spans="1:7">
      <c r="A46" s="4" t="s">
        <v>54</v>
      </c>
      <c r="B46" s="4"/>
      <c r="C46" s="4"/>
      <c r="D46" s="4"/>
      <c r="E46" s="4"/>
      <c r="F46" s="4"/>
      <c r="G46" s="2"/>
    </row>
    <row r="47" ht="15.75" spans="1:7">
      <c r="A47" s="4" t="s">
        <v>55</v>
      </c>
      <c r="B47" s="4"/>
      <c r="C47" s="4"/>
      <c r="D47" s="4"/>
      <c r="E47" s="4"/>
      <c r="F47" s="4"/>
      <c r="G47" s="2"/>
    </row>
    <row r="48" ht="15.75" spans="1:7">
      <c r="A48" s="4"/>
      <c r="B48" s="4"/>
      <c r="C48" s="4"/>
      <c r="D48" s="4"/>
      <c r="E48" s="4"/>
      <c r="F48" s="4"/>
      <c r="G48" s="2"/>
    </row>
    <row r="49" ht="15.75" spans="1:7">
      <c r="A49" s="6" t="s">
        <v>56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2"/>
    </row>
    <row r="50" ht="15.75" spans="1:7">
      <c r="A50" s="9"/>
      <c r="B50" s="9"/>
      <c r="C50" s="10"/>
      <c r="D50" s="10"/>
      <c r="E50" s="10"/>
      <c r="F50" s="10"/>
      <c r="G50" s="2"/>
    </row>
    <row r="51" ht="15.75" spans="1:7">
      <c r="A51" s="1" t="s">
        <v>57</v>
      </c>
      <c r="B51" s="1" t="s">
        <v>15</v>
      </c>
      <c r="C51" s="1" t="s">
        <v>16</v>
      </c>
      <c r="D51" s="1" t="s">
        <v>49</v>
      </c>
      <c r="E51" s="1" t="s">
        <v>50</v>
      </c>
      <c r="F51" s="1" t="s">
        <v>51</v>
      </c>
      <c r="G51" s="2"/>
    </row>
    <row r="52" ht="15.75" spans="1:7">
      <c r="A52" s="4" t="s">
        <v>58</v>
      </c>
      <c r="B52" s="14">
        <v>12937.5</v>
      </c>
      <c r="C52" s="14">
        <v>9703.125</v>
      </c>
      <c r="D52" s="14">
        <v>4116.47727272727</v>
      </c>
      <c r="E52" s="15">
        <v>4851.5625</v>
      </c>
      <c r="F52" s="14"/>
      <c r="G52" s="2"/>
    </row>
    <row r="53" ht="15.75" spans="1:7">
      <c r="A53" s="4" t="s">
        <v>59</v>
      </c>
      <c r="B53" s="14">
        <v>14200</v>
      </c>
      <c r="C53" s="14">
        <v>14200</v>
      </c>
      <c r="D53" s="15"/>
      <c r="E53" s="15">
        <v>14200</v>
      </c>
      <c r="F53" s="14"/>
      <c r="G53" s="2"/>
    </row>
    <row r="54" ht="15.75" spans="1:7">
      <c r="A54" s="4" t="s">
        <v>60</v>
      </c>
      <c r="B54" s="16">
        <v>500</v>
      </c>
      <c r="C54" s="16">
        <v>500</v>
      </c>
      <c r="D54" s="4"/>
      <c r="E54" s="4">
        <v>500</v>
      </c>
      <c r="F54" s="16"/>
      <c r="G54" s="2"/>
    </row>
    <row r="55" ht="15.75" spans="1:7">
      <c r="A55" s="4" t="s">
        <v>61</v>
      </c>
      <c r="B55" s="16"/>
      <c r="C55" s="16"/>
      <c r="D55" s="4"/>
      <c r="E55" s="4"/>
      <c r="F55" s="16"/>
      <c r="G55" s="2"/>
    </row>
    <row r="56" ht="15.75" spans="1:7">
      <c r="A56" s="17">
        <v>0.15</v>
      </c>
      <c r="B56" s="16">
        <v>2000</v>
      </c>
      <c r="C56" s="16"/>
      <c r="D56" s="4">
        <v>700</v>
      </c>
      <c r="E56" s="4">
        <v>750</v>
      </c>
      <c r="F56" s="16"/>
      <c r="G56" s="2"/>
    </row>
    <row r="57" ht="15.75" spans="1:7">
      <c r="A57" s="4" t="s">
        <v>62</v>
      </c>
      <c r="B57" s="18">
        <v>2500</v>
      </c>
      <c r="C57" s="18">
        <v>2500</v>
      </c>
      <c r="D57" s="19">
        <v>3000</v>
      </c>
      <c r="E57" s="4">
        <v>2500</v>
      </c>
      <c r="F57" s="18"/>
      <c r="G57" s="2"/>
    </row>
    <row r="58" ht="15.75" spans="1:7">
      <c r="A58" s="6" t="s">
        <v>63</v>
      </c>
      <c r="B58" s="20">
        <v>32137.5</v>
      </c>
      <c r="C58" s="21">
        <v>26903.125</v>
      </c>
      <c r="D58" s="20">
        <v>7816.47727272727</v>
      </c>
      <c r="E58" s="20">
        <v>22801.5625</v>
      </c>
      <c r="F58" s="21"/>
      <c r="G58" s="2"/>
    </row>
    <row r="59" ht="15.75" spans="1:7">
      <c r="A59" s="22"/>
      <c r="B59" s="23"/>
      <c r="C59" s="24"/>
      <c r="D59" s="25"/>
      <c r="E59" s="25"/>
      <c r="F59" s="26"/>
      <c r="G59" s="2"/>
    </row>
    <row r="60" ht="15.75" spans="1:7">
      <c r="A60" s="27" t="s">
        <v>64</v>
      </c>
      <c r="B60" s="27" t="s">
        <v>15</v>
      </c>
      <c r="C60" s="27" t="s">
        <v>16</v>
      </c>
      <c r="D60" s="27" t="s">
        <v>49</v>
      </c>
      <c r="E60" s="27" t="s">
        <v>50</v>
      </c>
      <c r="F60" s="27"/>
      <c r="G60" s="2"/>
    </row>
    <row r="61" ht="15.75" spans="1:7">
      <c r="A61" s="6" t="s">
        <v>65</v>
      </c>
      <c r="B61" s="18">
        <v>32137.5</v>
      </c>
      <c r="C61" s="18">
        <v>26903.125</v>
      </c>
      <c r="D61" s="18">
        <v>7816.47727272727</v>
      </c>
      <c r="E61" s="19">
        <v>22801.5625</v>
      </c>
      <c r="F61" s="21">
        <v>0</v>
      </c>
      <c r="G61" s="2"/>
    </row>
    <row r="62" ht="15.75" spans="1:7">
      <c r="A62" s="6" t="s">
        <v>66</v>
      </c>
      <c r="B62" s="28">
        <v>32500</v>
      </c>
      <c r="C62" s="20">
        <v>29500</v>
      </c>
      <c r="D62" s="20">
        <v>25000</v>
      </c>
      <c r="E62" s="7">
        <v>25500</v>
      </c>
      <c r="F62" s="4"/>
      <c r="G62" s="2"/>
    </row>
    <row r="63" ht="15.75" spans="1:7">
      <c r="A63" s="4" t="s">
        <v>67</v>
      </c>
      <c r="B63" s="28">
        <v>24375</v>
      </c>
      <c r="C63" s="20"/>
      <c r="D63" s="20"/>
      <c r="E63" s="4"/>
      <c r="F63" s="4"/>
      <c r="G63" s="2"/>
    </row>
    <row r="64" ht="15.75" spans="1:7">
      <c r="A64" s="4"/>
      <c r="B64" s="19"/>
      <c r="C64" s="20"/>
      <c r="D64" s="19"/>
      <c r="E64" s="4"/>
      <c r="F64" s="4"/>
      <c r="G64" s="2"/>
    </row>
    <row r="65" ht="15.75" spans="1:7">
      <c r="A65" s="4" t="s">
        <v>68</v>
      </c>
      <c r="B65" s="28">
        <v>11375</v>
      </c>
      <c r="C65" s="20"/>
      <c r="D65" s="20"/>
      <c r="E65" s="4"/>
      <c r="F65" s="4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tabSelected="1" topLeftCell="A24" workbookViewId="0">
      <selection activeCell="B31" sqref="B31"/>
    </sheetView>
  </sheetViews>
  <sheetFormatPr defaultColWidth="9" defaultRowHeight="15" outlineLevelCol="6"/>
  <cols>
    <col min="1" max="1" width="35.1428571428571" customWidth="1"/>
    <col min="2" max="2" width="24.1428571428571" customWidth="1"/>
    <col min="3" max="3" width="19.2857142857143" customWidth="1"/>
    <col min="4" max="4" width="18.1428571428571" customWidth="1"/>
    <col min="5" max="5" width="22.1428571428571" customWidth="1"/>
    <col min="6" max="6" width="24.1428571428571" customWidth="1"/>
  </cols>
  <sheetData>
    <row r="1" ht="15.75" spans="1:7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2"/>
    </row>
    <row r="2" ht="17.25" spans="1:7">
      <c r="A2" s="3" t="s">
        <v>69</v>
      </c>
      <c r="B2" s="4">
        <v>1500</v>
      </c>
      <c r="C2" s="4"/>
      <c r="D2" s="4">
        <v>3</v>
      </c>
      <c r="E2" s="4">
        <f>B2*D2</f>
        <v>4500</v>
      </c>
      <c r="F2" s="4">
        <v>0</v>
      </c>
      <c r="G2" s="2"/>
    </row>
    <row r="3" ht="17.25" spans="1:7">
      <c r="A3" s="3" t="s">
        <v>70</v>
      </c>
      <c r="B3" s="4">
        <f>1250</f>
        <v>1250</v>
      </c>
      <c r="C3" s="4"/>
      <c r="D3" s="4">
        <v>3</v>
      </c>
      <c r="E3" s="4">
        <f t="shared" ref="E3:E7" si="0">B3*D3</f>
        <v>3750</v>
      </c>
      <c r="F3" s="4">
        <v>0</v>
      </c>
      <c r="G3" s="2"/>
    </row>
    <row r="4" ht="17.25" spans="1:7">
      <c r="A4" s="3" t="s">
        <v>71</v>
      </c>
      <c r="B4" s="5">
        <v>2200</v>
      </c>
      <c r="C4" s="4"/>
      <c r="D4" s="4">
        <v>1</v>
      </c>
      <c r="E4" s="4">
        <f t="shared" si="0"/>
        <v>2200</v>
      </c>
      <c r="F4" s="4">
        <v>0</v>
      </c>
      <c r="G4" s="2"/>
    </row>
    <row r="5" ht="15.75" spans="1:7">
      <c r="A5" s="4"/>
      <c r="B5" s="4"/>
      <c r="C5" s="4"/>
      <c r="D5" s="4"/>
      <c r="E5" s="4">
        <f t="shared" si="0"/>
        <v>0</v>
      </c>
      <c r="F5" s="4">
        <v>0</v>
      </c>
      <c r="G5" s="2"/>
    </row>
    <row r="6" ht="15.75" spans="1:7">
      <c r="A6" s="4"/>
      <c r="B6" s="4">
        <v>0</v>
      </c>
      <c r="C6" s="4"/>
      <c r="D6" s="4"/>
      <c r="E6" s="4">
        <f t="shared" si="0"/>
        <v>0</v>
      </c>
      <c r="F6" s="4">
        <v>0</v>
      </c>
      <c r="G6" s="2"/>
    </row>
    <row r="7" ht="15.75" spans="1:7">
      <c r="A7" s="4"/>
      <c r="B7" s="4">
        <v>0</v>
      </c>
      <c r="C7" s="4"/>
      <c r="D7" s="4"/>
      <c r="E7" s="4">
        <f t="shared" si="0"/>
        <v>0</v>
      </c>
      <c r="F7" s="4">
        <v>0</v>
      </c>
      <c r="G7" s="2"/>
    </row>
    <row r="8" ht="15.75" spans="1:7">
      <c r="A8" s="6" t="s">
        <v>8</v>
      </c>
      <c r="B8" s="7">
        <v>6100</v>
      </c>
      <c r="C8" s="6">
        <v>0</v>
      </c>
      <c r="D8" s="6">
        <v>6</v>
      </c>
      <c r="E8" s="8">
        <v>17400</v>
      </c>
      <c r="F8" s="6">
        <v>0</v>
      </c>
      <c r="G8" s="2"/>
    </row>
    <row r="9" ht="15.75" spans="1:7">
      <c r="A9" s="9"/>
      <c r="B9" s="10" t="s">
        <v>9</v>
      </c>
      <c r="C9" s="10" t="s">
        <v>10</v>
      </c>
      <c r="D9" s="10" t="s">
        <v>11</v>
      </c>
      <c r="E9" s="10" t="s">
        <v>12</v>
      </c>
      <c r="F9" s="10" t="s">
        <v>13</v>
      </c>
      <c r="G9" s="2"/>
    </row>
    <row r="10" ht="15.75" spans="1:7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2"/>
    </row>
    <row r="11" ht="15.75" spans="1:7">
      <c r="A11" s="4" t="s">
        <v>72</v>
      </c>
      <c r="B11" s="4">
        <v>1000</v>
      </c>
      <c r="C11" s="4">
        <f>B11*1.5</f>
        <v>1500</v>
      </c>
      <c r="D11" s="4">
        <f>B11*1.75</f>
        <v>1750</v>
      </c>
      <c r="E11" s="4">
        <f>B11*2.25</f>
        <v>2250</v>
      </c>
      <c r="F11" s="4">
        <f>B11*2.75</f>
        <v>2750</v>
      </c>
      <c r="G11" s="2"/>
    </row>
    <row r="12" ht="15.75" spans="1:7">
      <c r="A12" s="4" t="s">
        <v>73</v>
      </c>
      <c r="B12" s="4">
        <v>4000</v>
      </c>
      <c r="C12" s="4">
        <f t="shared" ref="C12:C26" si="1">B12*1.5</f>
        <v>6000</v>
      </c>
      <c r="D12" s="4">
        <f t="shared" ref="D12:D26" si="2">B12*1.75</f>
        <v>7000</v>
      </c>
      <c r="E12" s="4">
        <f t="shared" ref="E12:E26" si="3">B12*2.25</f>
        <v>9000</v>
      </c>
      <c r="F12" s="4">
        <f t="shared" ref="F12:F26" si="4">B12*2.75</f>
        <v>11000</v>
      </c>
      <c r="G12" s="2"/>
    </row>
    <row r="13" ht="15.75" spans="1:7">
      <c r="A13" s="4" t="s">
        <v>74</v>
      </c>
      <c r="B13" s="4">
        <v>2000</v>
      </c>
      <c r="C13" s="4">
        <f t="shared" si="1"/>
        <v>3000</v>
      </c>
      <c r="D13" s="4">
        <f t="shared" si="2"/>
        <v>3500</v>
      </c>
      <c r="E13" s="4">
        <f t="shared" si="3"/>
        <v>4500</v>
      </c>
      <c r="F13" s="4">
        <f t="shared" si="4"/>
        <v>5500</v>
      </c>
      <c r="G13" s="2"/>
    </row>
    <row r="14" ht="15.75" spans="1:7">
      <c r="A14" s="4" t="s">
        <v>75</v>
      </c>
      <c r="B14" s="4">
        <v>6500</v>
      </c>
      <c r="C14" s="4">
        <f t="shared" si="1"/>
        <v>9750</v>
      </c>
      <c r="D14" s="4">
        <f t="shared" si="2"/>
        <v>11375</v>
      </c>
      <c r="E14" s="4">
        <f t="shared" si="3"/>
        <v>14625</v>
      </c>
      <c r="F14" s="4">
        <f t="shared" si="4"/>
        <v>17875</v>
      </c>
      <c r="G14" s="2"/>
    </row>
    <row r="15" ht="15.75" spans="1:7">
      <c r="A15" s="4" t="s">
        <v>76</v>
      </c>
      <c r="B15" s="4">
        <v>1000</v>
      </c>
      <c r="C15" s="4">
        <f t="shared" si="1"/>
        <v>1500</v>
      </c>
      <c r="D15" s="4">
        <f t="shared" si="2"/>
        <v>1750</v>
      </c>
      <c r="E15" s="4">
        <f t="shared" si="3"/>
        <v>2250</v>
      </c>
      <c r="F15" s="4">
        <f t="shared" si="4"/>
        <v>2750</v>
      </c>
      <c r="G15" s="2"/>
    </row>
    <row r="16" ht="15.75" spans="1:7">
      <c r="A16" s="4" t="s">
        <v>77</v>
      </c>
      <c r="B16" s="4">
        <v>2500</v>
      </c>
      <c r="C16" s="4">
        <f t="shared" ref="C16" si="5">B16*1.5</f>
        <v>3750</v>
      </c>
      <c r="D16" s="4">
        <f t="shared" ref="D16" si="6">B16*1.75</f>
        <v>4375</v>
      </c>
      <c r="E16" s="4">
        <f t="shared" ref="E16" si="7">B16*2.25</f>
        <v>5625</v>
      </c>
      <c r="F16" s="4">
        <f t="shared" ref="F16" si="8">B16*2.75</f>
        <v>6875</v>
      </c>
      <c r="G16" s="2"/>
    </row>
    <row r="17" ht="15.75" spans="1:7">
      <c r="A17" s="4" t="s">
        <v>78</v>
      </c>
      <c r="B17" s="4">
        <v>1000</v>
      </c>
      <c r="C17" s="4">
        <f t="shared" si="1"/>
        <v>1500</v>
      </c>
      <c r="D17" s="4">
        <f t="shared" si="2"/>
        <v>1750</v>
      </c>
      <c r="E17" s="4">
        <f t="shared" si="3"/>
        <v>2250</v>
      </c>
      <c r="F17" s="4">
        <f t="shared" si="4"/>
        <v>2750</v>
      </c>
      <c r="G17" s="2"/>
    </row>
    <row r="18" ht="15.75" spans="1:7">
      <c r="A18" s="4" t="s">
        <v>79</v>
      </c>
      <c r="B18" s="4">
        <v>1500</v>
      </c>
      <c r="C18" s="4">
        <f t="shared" si="1"/>
        <v>2250</v>
      </c>
      <c r="D18" s="4">
        <f t="shared" si="2"/>
        <v>2625</v>
      </c>
      <c r="E18" s="4">
        <f t="shared" si="3"/>
        <v>3375</v>
      </c>
      <c r="F18" s="4">
        <f t="shared" si="4"/>
        <v>4125</v>
      </c>
      <c r="G18" s="2"/>
    </row>
    <row r="19" ht="15.75" spans="1:7">
      <c r="A19" s="4" t="s">
        <v>80</v>
      </c>
      <c r="B19" s="4">
        <v>1000</v>
      </c>
      <c r="C19" s="4">
        <f t="shared" si="1"/>
        <v>1500</v>
      </c>
      <c r="D19" s="4">
        <f t="shared" si="2"/>
        <v>1750</v>
      </c>
      <c r="E19" s="4">
        <f t="shared" si="3"/>
        <v>2250</v>
      </c>
      <c r="F19" s="4">
        <f t="shared" si="4"/>
        <v>2750</v>
      </c>
      <c r="G19" s="2"/>
    </row>
    <row r="20" ht="15.75" spans="1:7">
      <c r="A20" s="4" t="s">
        <v>80</v>
      </c>
      <c r="B20" s="4">
        <v>1000</v>
      </c>
      <c r="C20" s="4">
        <f t="shared" si="1"/>
        <v>1500</v>
      </c>
      <c r="D20" s="4">
        <f t="shared" si="2"/>
        <v>1750</v>
      </c>
      <c r="E20" s="4">
        <f t="shared" si="3"/>
        <v>2250</v>
      </c>
      <c r="F20" s="4">
        <f t="shared" si="4"/>
        <v>2750</v>
      </c>
      <c r="G20" s="2"/>
    </row>
    <row r="21" ht="15.75" spans="1:7">
      <c r="A21" s="4" t="s">
        <v>81</v>
      </c>
      <c r="B21" s="4">
        <v>1500</v>
      </c>
      <c r="C21" s="4">
        <f t="shared" si="1"/>
        <v>2250</v>
      </c>
      <c r="D21" s="4">
        <f t="shared" si="2"/>
        <v>2625</v>
      </c>
      <c r="E21" s="4">
        <f t="shared" si="3"/>
        <v>3375</v>
      </c>
      <c r="F21" s="4">
        <f t="shared" si="4"/>
        <v>4125</v>
      </c>
      <c r="G21" s="2"/>
    </row>
    <row r="22" ht="15.75" spans="1:7">
      <c r="A22" s="4" t="s">
        <v>81</v>
      </c>
      <c r="B22" s="4">
        <v>1500</v>
      </c>
      <c r="C22" s="4">
        <f t="shared" si="1"/>
        <v>2250</v>
      </c>
      <c r="D22" s="4">
        <f t="shared" si="2"/>
        <v>2625</v>
      </c>
      <c r="E22" s="4">
        <f t="shared" si="3"/>
        <v>3375</v>
      </c>
      <c r="F22" s="4">
        <f t="shared" si="4"/>
        <v>4125</v>
      </c>
      <c r="G22" s="2"/>
    </row>
    <row r="23" ht="15.75" spans="1:7">
      <c r="A23" s="4" t="s">
        <v>82</v>
      </c>
      <c r="B23" s="4">
        <v>4000</v>
      </c>
      <c r="C23" s="4">
        <f t="shared" si="1"/>
        <v>6000</v>
      </c>
      <c r="D23" s="4">
        <f t="shared" si="2"/>
        <v>7000</v>
      </c>
      <c r="E23" s="4">
        <f t="shared" si="3"/>
        <v>9000</v>
      </c>
      <c r="F23" s="4">
        <f t="shared" si="4"/>
        <v>11000</v>
      </c>
      <c r="G23" s="2"/>
    </row>
    <row r="24" ht="15.75" spans="1:7">
      <c r="A24" s="4"/>
      <c r="B24" s="4"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4">
        <f t="shared" si="4"/>
        <v>0</v>
      </c>
      <c r="G24" s="2"/>
    </row>
    <row r="25" ht="15.75" spans="1:7">
      <c r="A25" s="4"/>
      <c r="B25" s="4"/>
      <c r="C25" s="4"/>
      <c r="D25" s="4"/>
      <c r="E25" s="4"/>
      <c r="F25" s="4"/>
      <c r="G25" s="2"/>
    </row>
    <row r="26" ht="15.75" spans="1:7">
      <c r="A26" s="4"/>
      <c r="B26" s="4"/>
      <c r="C26" s="4"/>
      <c r="D26" s="4"/>
      <c r="E26" s="4"/>
      <c r="F26" s="4"/>
      <c r="G26" s="2"/>
    </row>
    <row r="27" ht="15.75" spans="1:7">
      <c r="A27" s="4"/>
      <c r="B27" s="4"/>
      <c r="C27" s="4"/>
      <c r="D27" s="4">
        <v>0</v>
      </c>
      <c r="E27" s="4">
        <v>0</v>
      </c>
      <c r="F27" s="4">
        <v>0</v>
      </c>
      <c r="G27" s="2"/>
    </row>
    <row r="28" ht="15.75" spans="1:7">
      <c r="A28" s="6" t="s">
        <v>30</v>
      </c>
      <c r="B28" s="6">
        <v>24500</v>
      </c>
      <c r="C28" s="6">
        <v>36750</v>
      </c>
      <c r="D28" s="6">
        <v>42875</v>
      </c>
      <c r="E28" s="6">
        <v>55125</v>
      </c>
      <c r="F28" s="6">
        <v>67375</v>
      </c>
      <c r="G28" s="2"/>
    </row>
    <row r="29" ht="15.75" spans="1:7">
      <c r="A29" s="6" t="s">
        <v>31</v>
      </c>
      <c r="B29" s="11">
        <f>15%*B28</f>
        <v>3675</v>
      </c>
      <c r="C29" s="11">
        <v>0</v>
      </c>
      <c r="D29" s="11">
        <v>0</v>
      </c>
      <c r="E29" s="11">
        <v>0</v>
      </c>
      <c r="F29" s="11">
        <v>0</v>
      </c>
      <c r="G29" s="2"/>
    </row>
    <row r="30" ht="15.75" spans="1:7">
      <c r="A30" s="6" t="s">
        <v>32</v>
      </c>
      <c r="B30" s="11">
        <v>3</v>
      </c>
      <c r="C30" s="11">
        <v>0</v>
      </c>
      <c r="D30" s="11">
        <v>0</v>
      </c>
      <c r="E30" s="11">
        <v>0</v>
      </c>
      <c r="F30" s="11">
        <v>0</v>
      </c>
      <c r="G30" s="2"/>
    </row>
    <row r="31" ht="15.75" spans="1:7">
      <c r="A31" s="6" t="s">
        <v>33</v>
      </c>
      <c r="B31" s="11">
        <v>7656.25</v>
      </c>
      <c r="C31" s="11">
        <v>5742.1875</v>
      </c>
      <c r="D31" s="12">
        <v>4466.14583333333</v>
      </c>
      <c r="E31" s="11">
        <v>2460.9375</v>
      </c>
      <c r="F31" s="11">
        <v>1503.90625</v>
      </c>
      <c r="G31" s="2"/>
    </row>
    <row r="32" ht="15.75" spans="1:7">
      <c r="A32" s="9"/>
      <c r="B32" s="9"/>
      <c r="C32" s="9"/>
      <c r="D32" s="9"/>
      <c r="E32" s="9"/>
      <c r="F32" s="9"/>
      <c r="G32" s="2"/>
    </row>
    <row r="33" ht="15.75" spans="1:7">
      <c r="A33" s="1" t="s">
        <v>34</v>
      </c>
      <c r="B33" s="1"/>
      <c r="C33" s="9"/>
      <c r="D33" s="9"/>
      <c r="E33" s="9"/>
      <c r="F33" s="10"/>
      <c r="G33" s="2"/>
    </row>
    <row r="34" ht="15.75" spans="1:7">
      <c r="A34" s="4" t="s">
        <v>35</v>
      </c>
      <c r="B34" s="13">
        <v>500</v>
      </c>
      <c r="C34" s="9"/>
      <c r="D34" s="9" t="s">
        <v>36</v>
      </c>
      <c r="E34" s="9"/>
      <c r="F34" s="10"/>
      <c r="G34" s="2"/>
    </row>
    <row r="35" ht="15.75" spans="1:7">
      <c r="A35" s="10" t="s">
        <v>83</v>
      </c>
      <c r="B35" s="13">
        <v>7500</v>
      </c>
      <c r="C35" s="9">
        <f>(6000*2)/1.6</f>
        <v>7500</v>
      </c>
      <c r="D35" s="9"/>
      <c r="E35" s="9" t="s">
        <v>38</v>
      </c>
      <c r="F35" s="9"/>
      <c r="G35" s="2"/>
    </row>
    <row r="36" ht="15.75" spans="1:7">
      <c r="A36" s="4" t="s">
        <v>84</v>
      </c>
      <c r="B36" s="10">
        <f>20000/1.6</f>
        <v>12500</v>
      </c>
      <c r="C36" s="9"/>
      <c r="D36" s="9"/>
      <c r="E36" s="9"/>
      <c r="F36" s="9"/>
      <c r="G36" s="2"/>
    </row>
    <row r="37" ht="15.75" spans="1:7">
      <c r="A37" s="4" t="s">
        <v>37</v>
      </c>
      <c r="B37" s="13">
        <v>670</v>
      </c>
      <c r="C37" s="9"/>
      <c r="D37" s="9"/>
      <c r="E37" s="9" t="s">
        <v>43</v>
      </c>
      <c r="F37" s="9"/>
      <c r="G37" s="2"/>
    </row>
    <row r="38" ht="15.75" spans="1:7">
      <c r="A38" s="10" t="s">
        <v>85</v>
      </c>
      <c r="B38" s="13">
        <v>2090</v>
      </c>
      <c r="C38" s="9">
        <f>10000/1.6/3</f>
        <v>2083.33333333333</v>
      </c>
      <c r="D38" s="9"/>
      <c r="E38" s="9"/>
      <c r="F38" s="9"/>
      <c r="G38" s="2"/>
    </row>
    <row r="39" ht="15.75" spans="1:7">
      <c r="A39" s="4" t="s">
        <v>86</v>
      </c>
      <c r="B39" s="9">
        <f>6000</f>
        <v>6000</v>
      </c>
      <c r="C39" s="9">
        <f>6000</f>
        <v>6000</v>
      </c>
      <c r="D39" s="9"/>
      <c r="E39" s="9"/>
      <c r="F39" s="9"/>
      <c r="G39" s="2"/>
    </row>
    <row r="40" ht="15.75" spans="1:7">
      <c r="A40" s="4"/>
      <c r="B40" s="13"/>
      <c r="C40" s="9"/>
      <c r="D40" s="9" t="s">
        <v>44</v>
      </c>
      <c r="E40" s="9"/>
      <c r="F40" s="9"/>
      <c r="G40" s="2"/>
    </row>
    <row r="41" ht="15.75" spans="1:7">
      <c r="A41" s="6" t="s">
        <v>45</v>
      </c>
      <c r="B41" s="8">
        <f>SUM(B34:B40)</f>
        <v>29260</v>
      </c>
      <c r="C41" s="10"/>
      <c r="D41" s="10"/>
      <c r="E41" s="10"/>
      <c r="F41" s="10"/>
      <c r="G41" s="2"/>
    </row>
    <row r="42" ht="15.75" spans="1:7">
      <c r="A42" s="9"/>
      <c r="B42" s="9"/>
      <c r="C42" s="10"/>
      <c r="D42" s="10"/>
      <c r="E42" s="10"/>
      <c r="F42" s="10"/>
      <c r="G42" s="2"/>
    </row>
    <row r="43" ht="15.75" spans="1:7">
      <c r="A43" s="1" t="s">
        <v>46</v>
      </c>
      <c r="B43" s="1" t="s">
        <v>47</v>
      </c>
      <c r="C43" s="1" t="s">
        <v>48</v>
      </c>
      <c r="D43" s="1" t="s">
        <v>49</v>
      </c>
      <c r="E43" s="1" t="s">
        <v>50</v>
      </c>
      <c r="F43" s="1" t="s">
        <v>51</v>
      </c>
      <c r="G43" s="2"/>
    </row>
    <row r="44" ht="15.75" spans="1:7">
      <c r="A44" s="4" t="s">
        <v>52</v>
      </c>
      <c r="B44" s="4"/>
      <c r="C44" s="4">
        <v>0</v>
      </c>
      <c r="D44" s="4">
        <v>0</v>
      </c>
      <c r="E44" s="4">
        <v>0</v>
      </c>
      <c r="F44" s="4">
        <v>0</v>
      </c>
      <c r="G44" s="2"/>
    </row>
    <row r="45" ht="15.75" spans="1:7">
      <c r="A45" s="4" t="s">
        <v>53</v>
      </c>
      <c r="B45" s="4"/>
      <c r="C45" s="4"/>
      <c r="D45" s="4"/>
      <c r="E45" s="4"/>
      <c r="F45" s="4"/>
      <c r="G45" s="2"/>
    </row>
    <row r="46" ht="15.75" spans="1:7">
      <c r="A46" s="4" t="s">
        <v>54</v>
      </c>
      <c r="B46" s="4"/>
      <c r="C46" s="4"/>
      <c r="D46" s="4"/>
      <c r="E46" s="4"/>
      <c r="F46" s="4"/>
      <c r="G46" s="2"/>
    </row>
    <row r="47" ht="15.75" spans="1:7">
      <c r="A47" s="4" t="s">
        <v>55</v>
      </c>
      <c r="B47" s="4"/>
      <c r="C47" s="4"/>
      <c r="D47" s="4"/>
      <c r="E47" s="4"/>
      <c r="F47" s="4"/>
      <c r="G47" s="2"/>
    </row>
    <row r="48" ht="15.75" spans="1:7">
      <c r="A48" s="4"/>
      <c r="B48" s="4"/>
      <c r="C48" s="4"/>
      <c r="D48" s="4"/>
      <c r="E48" s="4"/>
      <c r="F48" s="4"/>
      <c r="G48" s="2"/>
    </row>
    <row r="49" ht="15.75" spans="1:7">
      <c r="A49" s="6" t="s">
        <v>56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2"/>
    </row>
    <row r="50" ht="15.75" spans="1:7">
      <c r="A50" s="9"/>
      <c r="B50" s="9"/>
      <c r="C50" s="10"/>
      <c r="D50" s="10"/>
      <c r="E50" s="10"/>
      <c r="F50" s="10"/>
      <c r="G50" s="2"/>
    </row>
    <row r="51" ht="15.75" spans="1:7">
      <c r="A51" s="1" t="s">
        <v>57</v>
      </c>
      <c r="B51" s="1" t="s">
        <v>15</v>
      </c>
      <c r="C51" s="1" t="s">
        <v>16</v>
      </c>
      <c r="D51" s="1" t="s">
        <v>49</v>
      </c>
      <c r="E51" s="1" t="s">
        <v>50</v>
      </c>
      <c r="F51" s="1" t="s">
        <v>51</v>
      </c>
      <c r="G51" s="2"/>
    </row>
    <row r="52" ht="15.75" spans="1:7">
      <c r="A52" s="4" t="s">
        <v>58</v>
      </c>
      <c r="B52" s="14">
        <v>7656.25</v>
      </c>
      <c r="C52" s="14">
        <v>5742.1875</v>
      </c>
      <c r="D52" s="14">
        <v>4466.14583333333</v>
      </c>
      <c r="E52" s="15">
        <v>2460.9375</v>
      </c>
      <c r="F52" s="14">
        <v>1503.90625</v>
      </c>
      <c r="G52" s="2"/>
    </row>
    <row r="53" ht="15.75" spans="1:7">
      <c r="A53" s="4" t="s">
        <v>59</v>
      </c>
      <c r="B53" s="14">
        <v>17400</v>
      </c>
      <c r="C53" s="14">
        <v>17400</v>
      </c>
      <c r="D53" s="15">
        <v>17400</v>
      </c>
      <c r="E53" s="15">
        <v>17400</v>
      </c>
      <c r="F53" s="14">
        <v>17400</v>
      </c>
      <c r="G53" s="2"/>
    </row>
    <row r="54" ht="15.75" spans="1:7">
      <c r="A54" s="4" t="s">
        <v>60</v>
      </c>
      <c r="B54" s="16">
        <v>9000</v>
      </c>
      <c r="C54" s="16">
        <v>9000</v>
      </c>
      <c r="D54" s="4">
        <v>9000</v>
      </c>
      <c r="E54" s="4">
        <v>9000</v>
      </c>
      <c r="F54" s="16">
        <v>9000</v>
      </c>
      <c r="G54" s="2"/>
    </row>
    <row r="55" ht="15.75" spans="1:7">
      <c r="A55" s="4" t="s">
        <v>61</v>
      </c>
      <c r="B55" s="16"/>
      <c r="C55" s="16"/>
      <c r="D55" s="4"/>
      <c r="E55" s="4"/>
      <c r="F55" s="16"/>
      <c r="G55" s="2"/>
    </row>
    <row r="56" ht="15.75" spans="1:7">
      <c r="A56" s="17">
        <v>0.15</v>
      </c>
      <c r="B56" s="16"/>
      <c r="C56" s="16"/>
      <c r="D56" s="4">
        <v>1300</v>
      </c>
      <c r="E56" s="4"/>
      <c r="F56" s="16"/>
      <c r="G56" s="2"/>
    </row>
    <row r="57" ht="15.75" spans="1:7">
      <c r="A57" s="4" t="s">
        <v>62</v>
      </c>
      <c r="B57" s="18">
        <v>2500</v>
      </c>
      <c r="C57" s="18">
        <v>800</v>
      </c>
      <c r="D57" s="19">
        <v>3000</v>
      </c>
      <c r="E57" s="4">
        <v>2500</v>
      </c>
      <c r="F57" s="18">
        <v>4200</v>
      </c>
      <c r="G57" s="2"/>
    </row>
    <row r="58" ht="15.75" spans="1:7">
      <c r="A58" s="6" t="s">
        <v>63</v>
      </c>
      <c r="B58" s="20">
        <v>36556.25</v>
      </c>
      <c r="C58" s="21">
        <v>32942.1875</v>
      </c>
      <c r="D58" s="20">
        <v>35166.1458333333</v>
      </c>
      <c r="E58" s="20">
        <v>31360.9375</v>
      </c>
      <c r="F58" s="20">
        <v>32103.90625</v>
      </c>
      <c r="G58" s="2"/>
    </row>
    <row r="59" ht="15.75" spans="1:7">
      <c r="A59" s="22"/>
      <c r="B59" s="23"/>
      <c r="C59" s="24"/>
      <c r="D59" s="25"/>
      <c r="E59" s="25"/>
      <c r="F59" s="26"/>
      <c r="G59" s="2"/>
    </row>
    <row r="60" ht="15.75" spans="1:7">
      <c r="A60" s="27" t="s">
        <v>64</v>
      </c>
      <c r="B60" s="27" t="s">
        <v>15</v>
      </c>
      <c r="C60" s="27" t="s">
        <v>16</v>
      </c>
      <c r="D60" s="27" t="s">
        <v>49</v>
      </c>
      <c r="E60" s="27" t="s">
        <v>50</v>
      </c>
      <c r="F60" s="27"/>
      <c r="G60" s="2"/>
    </row>
    <row r="61" ht="15.75" spans="1:7">
      <c r="A61" s="6" t="s">
        <v>65</v>
      </c>
      <c r="B61" s="18">
        <v>36556.25</v>
      </c>
      <c r="C61" s="18">
        <v>32942.1875</v>
      </c>
      <c r="D61" s="18">
        <v>35166.1458333333</v>
      </c>
      <c r="E61" s="19">
        <v>31360.9375</v>
      </c>
      <c r="F61" s="21">
        <v>32103.90625</v>
      </c>
      <c r="G61" s="2"/>
    </row>
    <row r="62" ht="15.75" spans="1:7">
      <c r="A62" s="6" t="s">
        <v>66</v>
      </c>
      <c r="B62" s="20">
        <v>36500</v>
      </c>
      <c r="C62" s="20">
        <v>31000</v>
      </c>
      <c r="D62" s="28">
        <v>40200</v>
      </c>
      <c r="E62" s="7">
        <v>41000</v>
      </c>
      <c r="F62" s="7">
        <v>14500</v>
      </c>
      <c r="G62" s="2"/>
    </row>
    <row r="63" ht="15.75" spans="1:7">
      <c r="A63" s="4" t="s">
        <v>67</v>
      </c>
      <c r="B63" s="20"/>
      <c r="C63" s="20"/>
      <c r="D63" s="20"/>
      <c r="E63" s="4"/>
      <c r="F63" s="4"/>
      <c r="G63" s="2"/>
    </row>
    <row r="64" ht="15.75" spans="1:7">
      <c r="A64" s="4"/>
      <c r="B64" s="19"/>
      <c r="C64" s="20"/>
      <c r="D64" s="19"/>
      <c r="E64" s="4"/>
      <c r="F64" s="4"/>
      <c r="G64" s="2"/>
    </row>
    <row r="65" ht="15.75" spans="1:7">
      <c r="A65" s="4" t="s">
        <v>87</v>
      </c>
      <c r="B65" s="20"/>
      <c r="C65" s="20"/>
      <c r="D65" s="20"/>
      <c r="E65" s="4"/>
      <c r="F65" s="4"/>
      <c r="G65" s="2"/>
    </row>
    <row r="66" ht="15.75" spans="1:7">
      <c r="A66" s="4"/>
      <c r="B66" s="19"/>
      <c r="C66" s="20"/>
      <c r="D66" s="19"/>
      <c r="E66" s="4"/>
      <c r="F66" s="4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2026-08-31T10:56:00Z</dcterms:created>
  <dcterms:modified xsi:type="dcterms:W3CDTF">2026-09-01T08:10:34Z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5A62CE4B079C42419FECA6E4341B7E73_12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